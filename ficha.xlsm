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User\controlup\teste\"/>
    </mc:Choice>
  </mc:AlternateContent>
  <bookViews>
    <workbookView xWindow="0" yWindow="0" windowWidth="21600" windowHeight="8880"/>
  </bookViews>
  <sheets>
    <sheet name="ficha" sheetId="1" r:id="rId1"/>
    <sheet name="conversao_de_dados" sheetId="2" state="hidden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" l="1"/>
  <c r="C3" i="2"/>
  <c r="C2" i="2"/>
  <c r="C7" i="2"/>
  <c r="C12" i="1" s="1"/>
  <c r="C6" i="2"/>
  <c r="C10" i="1" l="1"/>
  <c r="I6" i="1"/>
  <c r="C5" i="1"/>
  <c r="C4" i="2"/>
  <c r="J16" i="1" s="1"/>
  <c r="F14" i="1" l="1"/>
  <c r="J15" i="1"/>
  <c r="F15" i="1"/>
  <c r="F16" i="1"/>
  <c r="H14" i="1"/>
  <c r="D14" i="1"/>
  <c r="H15" i="1"/>
  <c r="D16" i="1"/>
  <c r="J14" i="1"/>
  <c r="H16" i="1"/>
  <c r="D15" i="1"/>
</calcChain>
</file>

<file path=xl/sharedStrings.xml><?xml version="1.0" encoding="utf-8"?>
<sst xmlns="http://schemas.openxmlformats.org/spreadsheetml/2006/main" count="38" uniqueCount="32">
  <si>
    <t>PROCESSO DE ADMISSÃO</t>
  </si>
  <si>
    <t>Dados do Registro:</t>
  </si>
  <si>
    <t>Empresa:</t>
  </si>
  <si>
    <t xml:space="preserve">CENTRO DE CUSTO: </t>
  </si>
  <si>
    <t>Funcionário:</t>
  </si>
  <si>
    <t>E-mail:</t>
  </si>
  <si>
    <t>Data de Admissão:</t>
  </si>
  <si>
    <t>1° emprego: </t>
  </si>
  <si>
    <t>Endereço:</t>
  </si>
  <si>
    <t>Periculosidade:</t>
  </si>
  <si>
    <r>
      <t>Vale Transporte</t>
    </r>
    <r>
      <rPr>
        <sz val="13"/>
        <color rgb="FF000000"/>
        <rFont val="Calibri"/>
        <family val="2"/>
        <scheme val="minor"/>
      </rPr>
      <t>: </t>
    </r>
  </si>
  <si>
    <r>
      <t>Remuneração</t>
    </r>
    <r>
      <rPr>
        <sz val="13"/>
        <color theme="1"/>
        <rFont val="Calibri"/>
        <family val="2"/>
        <scheme val="minor"/>
      </rPr>
      <t>: </t>
    </r>
  </si>
  <si>
    <t>Função:</t>
  </si>
  <si>
    <t>Data Exame Admissional:</t>
  </si>
  <si>
    <r>
      <t>Horário (44 horas p/semana):</t>
    </r>
    <r>
      <rPr>
        <sz val="13"/>
        <color rgb="FF000000"/>
        <rFont val="Calibri"/>
        <family val="2"/>
        <scheme val="minor"/>
      </rPr>
      <t> </t>
    </r>
  </si>
  <si>
    <t>Segunda a quinta das:</t>
  </si>
  <si>
    <t>às</t>
  </si>
  <si>
    <t>Intervalo: </t>
  </si>
  <si>
    <t>às </t>
  </si>
  <si>
    <t>Sexta:</t>
  </si>
  <si>
    <t>Sábado:</t>
  </si>
  <si>
    <t>Folga</t>
  </si>
  <si>
    <t>01 FOLGA SEMANAL + 01 FOLGA DE DOMINGO</t>
  </si>
  <si>
    <t>Etnia:</t>
  </si>
  <si>
    <t>NÃO</t>
  </si>
  <si>
    <t>CNPJ</t>
  </si>
  <si>
    <t>TURNO</t>
  </si>
  <si>
    <t>CIDADE</t>
  </si>
  <si>
    <t>LOJA</t>
  </si>
  <si>
    <t>DATA</t>
  </si>
  <si>
    <t>cargo</t>
  </si>
  <si>
    <t>salário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</si>
</sst>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3"/>
      <color rgb="FF000000"/>
      <name val="Calibri"/>
      <family val="2"/>
      <scheme val="minor"/>
    </font>
    <font>
      <sz val="13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3"/>
      <color theme="1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20" fontId="2" fillId="0" borderId="11" xfId="0" applyNumberFormat="1" applyFont="1" applyBorder="1" applyAlignment="1">
      <alignment horizontal="center" vertical="center" wrapText="1"/>
    </xf>
    <xf numFmtId="0" fontId="2" fillId="0" borderId="11" xfId="0" applyFont="1" applyBorder="1" applyAlignment="1">
      <alignment horizontal="right" vertical="center" wrapText="1"/>
    </xf>
    <xf numFmtId="0" fontId="0" fillId="0" borderId="4" xfId="0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2" fillId="4" borderId="16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vertical="center" wrapText="1"/>
    </xf>
    <xf numFmtId="0" fontId="2" fillId="0" borderId="11" xfId="0" applyFont="1" applyBorder="1" applyAlignment="1">
      <alignment vertical="center" wrapText="1"/>
    </xf>
    <xf numFmtId="0" fontId="4" fillId="0" borderId="17" xfId="0" applyFont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19" xfId="0" applyFont="1" applyBorder="1" applyAlignment="1">
      <alignment vertical="center" wrapText="1"/>
    </xf>
    <xf numFmtId="0" fontId="8" fillId="3" borderId="21" xfId="0" applyFont="1" applyFill="1" applyBorder="1" applyAlignment="1">
      <alignment vertical="center" wrapText="1"/>
    </xf>
    <xf numFmtId="14" fontId="4" fillId="0" borderId="1" xfId="0" applyNumberFormat="1" applyFont="1" applyBorder="1" applyAlignment="1">
      <alignment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right" vertical="center" wrapText="1"/>
    </xf>
    <xf numFmtId="0" fontId="2" fillId="0" borderId="10" xfId="0" applyFont="1" applyBorder="1" applyAlignment="1">
      <alignment horizontal="right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7" fillId="0" borderId="17" xfId="1" applyFont="1" applyBorder="1" applyAlignment="1">
      <alignment horizontal="center" vertical="center" wrapText="1"/>
    </xf>
    <xf numFmtId="0" fontId="7" fillId="0" borderId="18" xfId="1" applyFont="1" applyBorder="1" applyAlignment="1">
      <alignment horizontal="center" vertical="center" wrapText="1"/>
    </xf>
    <xf numFmtId="0" fontId="7" fillId="0" borderId="2" xfId="1" applyFont="1" applyBorder="1" applyAlignment="1">
      <alignment horizontal="center" vertical="center" wrapText="1"/>
    </xf>
    <xf numFmtId="0" fontId="7" fillId="0" borderId="3" xfId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4" fillId="0" borderId="17" xfId="0" applyFont="1" applyBorder="1" applyAlignment="1">
      <alignment horizontal="left" vertical="center" wrapText="1"/>
    </xf>
    <xf numFmtId="0" fontId="4" fillId="0" borderId="18" xfId="0" applyFont="1" applyBorder="1" applyAlignment="1">
      <alignment horizontal="left" vertical="center" wrapText="1"/>
    </xf>
    <xf numFmtId="0" fontId="4" fillId="0" borderId="19" xfId="0" applyFont="1" applyBorder="1" applyAlignment="1">
      <alignment horizontal="left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3" borderId="19" xfId="0" applyFont="1" applyFill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ry_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ia"/>
      <sheetName val="admissao"/>
    </sheetNames>
    <sheetDataSet>
      <sheetData sheetId="0">
        <row r="4">
          <cell r="B4" t="str">
            <v>LOJA</v>
          </cell>
          <cell r="C4" t="str">
            <v>SIST.</v>
          </cell>
          <cell r="D4" t="str">
            <v>CARGO</v>
          </cell>
          <cell r="E4" t="str">
            <v>REF1</v>
          </cell>
          <cell r="F4" t="str">
            <v>SALÁRIO</v>
          </cell>
          <cell r="G4" t="str">
            <v>RAZÃO SOCIAL</v>
          </cell>
          <cell r="H4" t="str">
            <v>CNPJ</v>
          </cell>
          <cell r="I4" t="str">
            <v>GP</v>
          </cell>
          <cell r="J4" t="str">
            <v>CIDADE</v>
          </cell>
        </row>
        <row r="5">
          <cell r="B5">
            <v>1</v>
          </cell>
          <cell r="C5" t="str">
            <v>HIPER</v>
          </cell>
          <cell r="D5" t="str">
            <v>VENDEDOR</v>
          </cell>
          <cell r="E5" t="str">
            <v>VENDEDOR1</v>
          </cell>
          <cell r="F5">
            <v>1993</v>
          </cell>
          <cell r="G5" t="str">
            <v>ALOHA SURF</v>
          </cell>
          <cell r="H5" t="str">
            <v>21.903.090/0001-09</v>
          </cell>
          <cell r="I5" t="str">
            <v>ALOHA SPORTS SERVICE LTDA - 57.845.731/0001-55</v>
          </cell>
          <cell r="J5" t="str">
            <v>SOROCABA</v>
          </cell>
        </row>
        <row r="6">
          <cell r="B6">
            <v>1</v>
          </cell>
          <cell r="C6" t="str">
            <v>HIPER</v>
          </cell>
          <cell r="D6" t="str">
            <v>CAIXA</v>
          </cell>
          <cell r="E6" t="str">
            <v>CAIXA1</v>
          </cell>
          <cell r="F6">
            <v>2235.4499999999998</v>
          </cell>
          <cell r="G6"/>
          <cell r="H6"/>
          <cell r="I6" t="str">
            <v>ALOHA SPORTS SERVICE LTDA - 57.845.731/0001-55</v>
          </cell>
          <cell r="J6" t="str">
            <v>SOROCABA</v>
          </cell>
        </row>
        <row r="7">
          <cell r="B7">
            <v>2</v>
          </cell>
          <cell r="C7">
            <v>24</v>
          </cell>
          <cell r="D7" t="str">
            <v>VENDEDOR</v>
          </cell>
          <cell r="E7" t="str">
            <v>VENDEDOR2</v>
          </cell>
          <cell r="F7">
            <v>1993</v>
          </cell>
          <cell r="G7" t="str">
            <v>ALOHA SPORTS</v>
          </cell>
          <cell r="H7" t="str">
            <v>10.872.187/0001-77</v>
          </cell>
          <cell r="I7" t="str">
            <v>ALOHA SPORTS SERVICE LTDA - 57.845.731/0001-55</v>
          </cell>
          <cell r="J7" t="str">
            <v>SOROCABA</v>
          </cell>
        </row>
        <row r="8">
          <cell r="B8">
            <v>2</v>
          </cell>
          <cell r="C8">
            <v>24</v>
          </cell>
          <cell r="D8" t="str">
            <v>CAIXA</v>
          </cell>
          <cell r="E8" t="str">
            <v>CAIXA2</v>
          </cell>
          <cell r="F8">
            <v>2235.4499999999998</v>
          </cell>
          <cell r="G8"/>
          <cell r="H8"/>
          <cell r="I8" t="str">
            <v>ALOHA SPORTS SERVICE LTDA - 57.845.731/0001-55</v>
          </cell>
          <cell r="J8" t="str">
            <v>SOROCABA</v>
          </cell>
        </row>
        <row r="9">
          <cell r="B9">
            <v>3</v>
          </cell>
          <cell r="C9">
            <v>27</v>
          </cell>
          <cell r="D9" t="str">
            <v>VENDEDOR</v>
          </cell>
          <cell r="E9" t="str">
            <v>VENDEDOR3</v>
          </cell>
          <cell r="F9">
            <v>1950</v>
          </cell>
          <cell r="G9" t="str">
            <v>CARVALHO &amp; SANTOS</v>
          </cell>
          <cell r="H9" t="str">
            <v>23.009.604/0001-02</v>
          </cell>
          <cell r="I9" t="str">
            <v>ALOHA SPORTS SERVICE LTDA - 57.845.731/0001-55</v>
          </cell>
          <cell r="J9" t="str">
            <v>BAURU</v>
          </cell>
        </row>
        <row r="10">
          <cell r="B10">
            <v>3</v>
          </cell>
          <cell r="C10">
            <v>27</v>
          </cell>
          <cell r="D10" t="str">
            <v>CAIXA</v>
          </cell>
          <cell r="E10" t="str">
            <v>CAIXA3</v>
          </cell>
          <cell r="F10">
            <v>2096</v>
          </cell>
          <cell r="G10"/>
          <cell r="H10"/>
          <cell r="I10" t="str">
            <v>ALOHA SPORTS SERVICE LTDA - 57.845.731/0001-55</v>
          </cell>
          <cell r="J10" t="str">
            <v>BAURU</v>
          </cell>
        </row>
        <row r="11">
          <cell r="B11">
            <v>4</v>
          </cell>
          <cell r="C11">
            <v>30</v>
          </cell>
          <cell r="D11" t="str">
            <v>VENDEDOR</v>
          </cell>
          <cell r="E11" t="str">
            <v>VENDEDOR4</v>
          </cell>
          <cell r="F11">
            <v>1993</v>
          </cell>
          <cell r="G11" t="str">
            <v>CR CARVALHO</v>
          </cell>
          <cell r="H11" t="str">
            <v>25.118.348/0001-09</v>
          </cell>
          <cell r="I11" t="str">
            <v>ALOHA SPORTS SERVICE LTDA - 57.845.731/0001-55</v>
          </cell>
          <cell r="J11" t="str">
            <v>SOROCABA</v>
          </cell>
        </row>
        <row r="12">
          <cell r="B12">
            <v>4</v>
          </cell>
          <cell r="C12">
            <v>30</v>
          </cell>
          <cell r="D12" t="str">
            <v>CAIXA</v>
          </cell>
          <cell r="E12" t="str">
            <v>CAIXA4</v>
          </cell>
          <cell r="F12">
            <v>2235.4499999999998</v>
          </cell>
          <cell r="G12"/>
          <cell r="H12"/>
          <cell r="I12" t="str">
            <v>ALOHA SPORTS SERVICE LTDA - 57.845.731/0001-55</v>
          </cell>
          <cell r="J12" t="str">
            <v>SOROCABA</v>
          </cell>
        </row>
        <row r="13">
          <cell r="B13">
            <v>5</v>
          </cell>
          <cell r="C13">
            <v>39</v>
          </cell>
          <cell r="D13" t="str">
            <v>VENDEDOR</v>
          </cell>
          <cell r="E13" t="str">
            <v>VENDEDOR5</v>
          </cell>
          <cell r="F13">
            <v>1950</v>
          </cell>
          <cell r="G13" t="str">
            <v>CARVALHO SURF</v>
          </cell>
          <cell r="H13" t="str">
            <v>28.870.303/0001-84</v>
          </cell>
          <cell r="I13" t="str">
            <v>ALOHA SPORTS SERVICE LTDA - 57.845.731/0001-55</v>
          </cell>
          <cell r="J13" t="str">
            <v>BAURU</v>
          </cell>
        </row>
        <row r="14">
          <cell r="B14">
            <v>5</v>
          </cell>
          <cell r="C14">
            <v>39</v>
          </cell>
          <cell r="D14" t="str">
            <v>CAIXA</v>
          </cell>
          <cell r="E14" t="str">
            <v>CAIXA5</v>
          </cell>
          <cell r="F14">
            <v>2096</v>
          </cell>
          <cell r="G14"/>
          <cell r="H14"/>
          <cell r="I14" t="str">
            <v>ALOHA SPORTS SERVICE LTDA - 57.845.731/0001-55</v>
          </cell>
          <cell r="J14" t="str">
            <v>BAURU</v>
          </cell>
        </row>
        <row r="15">
          <cell r="B15">
            <v>6</v>
          </cell>
          <cell r="C15" t="str">
            <v>42/151</v>
          </cell>
          <cell r="D15" t="str">
            <v>VENDEDOR</v>
          </cell>
          <cell r="E15" t="str">
            <v>VENDEDOR6</v>
          </cell>
          <cell r="F15">
            <v>1979.25</v>
          </cell>
          <cell r="G15" t="str">
            <v>CARVALHO FOOTWEAR</v>
          </cell>
          <cell r="H15" t="str">
            <v>30.213.919/0001-24</v>
          </cell>
          <cell r="I15" t="str">
            <v>JR STREETWEAR SERVICE LTDA - 57.845.675/0001-59</v>
          </cell>
          <cell r="J15" t="str">
            <v>PRES. PRUDENTE</v>
          </cell>
        </row>
        <row r="16">
          <cell r="B16">
            <v>6</v>
          </cell>
          <cell r="C16" t="str">
            <v>42/151</v>
          </cell>
          <cell r="D16" t="str">
            <v>CAIXA</v>
          </cell>
          <cell r="E16" t="str">
            <v>CAIXA6</v>
          </cell>
          <cell r="F16">
            <v>2123.1</v>
          </cell>
          <cell r="G16"/>
          <cell r="H16"/>
          <cell r="I16" t="str">
            <v>JR STREETWEAR SERVICE LTDA - 57.845.675/0001-59</v>
          </cell>
          <cell r="J16" t="str">
            <v>PRES. PRUDENTE</v>
          </cell>
        </row>
        <row r="17">
          <cell r="B17">
            <v>7</v>
          </cell>
          <cell r="C17">
            <v>49</v>
          </cell>
          <cell r="D17" t="str">
            <v>VENDEDOR</v>
          </cell>
          <cell r="E17" t="str">
            <v>VENDEDOR7</v>
          </cell>
          <cell r="F17">
            <v>1987</v>
          </cell>
          <cell r="G17" t="str">
            <v>CARVALHO SURF &amp; SKATE</v>
          </cell>
          <cell r="H17" t="str">
            <v>28.870.303/0002-65</v>
          </cell>
          <cell r="I17" t="str">
            <v>ALOHA SPORTS SERVICE LTDA - 57.845.731/0001-55</v>
          </cell>
          <cell r="J17" t="str">
            <v>S. J. RIO PRETO</v>
          </cell>
        </row>
        <row r="18">
          <cell r="B18">
            <v>7</v>
          </cell>
          <cell r="C18">
            <v>49</v>
          </cell>
          <cell r="D18" t="str">
            <v>CAIXA</v>
          </cell>
          <cell r="E18" t="str">
            <v>CAIXA7</v>
          </cell>
          <cell r="F18">
            <v>2127</v>
          </cell>
          <cell r="G18"/>
          <cell r="H18"/>
          <cell r="I18" t="str">
            <v>ALOHA SPORTS SERVICE LTDA - 57.845.731/0001-55</v>
          </cell>
          <cell r="J18" t="str">
            <v>S. J. RIO PRETO</v>
          </cell>
        </row>
        <row r="19">
          <cell r="B19">
            <v>9</v>
          </cell>
          <cell r="C19">
            <v>53</v>
          </cell>
          <cell r="D19" t="str">
            <v>VENDEDOR</v>
          </cell>
          <cell r="E19" t="str">
            <v>VENDEDOR9</v>
          </cell>
          <cell r="F19">
            <v>1979.25</v>
          </cell>
          <cell r="G19" t="str">
            <v>CARVALHO SURF &amp; SKATE</v>
          </cell>
          <cell r="H19" t="str">
            <v>28.870.303/0004-27</v>
          </cell>
          <cell r="I19" t="str">
            <v>JR STREETWEAR SERVICE LTDA - 57.845.675/0001-59</v>
          </cell>
          <cell r="J19" t="str">
            <v>PRES. PRUDENTE</v>
          </cell>
        </row>
        <row r="20">
          <cell r="B20">
            <v>9</v>
          </cell>
          <cell r="C20"/>
          <cell r="D20" t="str">
            <v>CAIXA</v>
          </cell>
          <cell r="E20" t="str">
            <v>CAIXA9</v>
          </cell>
          <cell r="F20">
            <v>2123.1</v>
          </cell>
          <cell r="G20"/>
          <cell r="H20"/>
          <cell r="I20" t="str">
            <v>JR STREETWEAR SERVICE LTDA - 57.845.675/0001-59</v>
          </cell>
          <cell r="J20" t="str">
            <v>PRES. PRUDENTE</v>
          </cell>
        </row>
        <row r="21">
          <cell r="B21">
            <v>10</v>
          </cell>
          <cell r="C21">
            <v>54</v>
          </cell>
          <cell r="D21" t="str">
            <v>VENDEDOR</v>
          </cell>
          <cell r="E21" t="str">
            <v>VENDEDOR10</v>
          </cell>
          <cell r="F21">
            <v>1987</v>
          </cell>
          <cell r="G21" t="str">
            <v>CARVALHO SURF &amp; SKATE</v>
          </cell>
          <cell r="H21" t="str">
            <v>28.870.303/0005-08</v>
          </cell>
          <cell r="I21" t="str">
            <v>ALOHA SPORTS SERVICE LTDA - 57.845.731/0001-55</v>
          </cell>
          <cell r="J21" t="str">
            <v>S. J. RIO PRETO</v>
          </cell>
        </row>
        <row r="22">
          <cell r="B22">
            <v>10</v>
          </cell>
          <cell r="C22"/>
          <cell r="D22" t="str">
            <v>CAIXA</v>
          </cell>
          <cell r="E22" t="str">
            <v>CAIXA10</v>
          </cell>
          <cell r="F22">
            <v>2127</v>
          </cell>
          <cell r="G22"/>
          <cell r="H22"/>
          <cell r="I22" t="str">
            <v>ALOHA SPORTS SERVICE LTDA - 57.845.731/0001-55</v>
          </cell>
          <cell r="J22" t="str">
            <v>S. J. RIO PRETO</v>
          </cell>
        </row>
        <row r="23">
          <cell r="B23">
            <v>11</v>
          </cell>
          <cell r="C23">
            <v>55</v>
          </cell>
          <cell r="D23" t="str">
            <v>VENDEDOR</v>
          </cell>
          <cell r="E23" t="str">
            <v>VENDEDOR11</v>
          </cell>
          <cell r="F23">
            <v>2024</v>
          </cell>
          <cell r="G23" t="str">
            <v>CARVALHO SURF &amp; SKATE</v>
          </cell>
          <cell r="H23" t="str">
            <v>28.870.303/0006-99</v>
          </cell>
          <cell r="I23" t="str">
            <v>JR STREETWEAR SERVICE LTDA - 57.845.675/0001-59</v>
          </cell>
          <cell r="J23" t="str">
            <v>ARAÇATUBA</v>
          </cell>
        </row>
        <row r="24">
          <cell r="B24">
            <v>11</v>
          </cell>
          <cell r="C24"/>
          <cell r="D24" t="str">
            <v>CAIXA</v>
          </cell>
          <cell r="E24" t="str">
            <v>CAIXA11</v>
          </cell>
          <cell r="F24">
            <v>2176</v>
          </cell>
          <cell r="G24"/>
          <cell r="H24"/>
          <cell r="I24" t="str">
            <v>JR STREETWEAR SERVICE LTDA - 57.845.675/0001-59</v>
          </cell>
          <cell r="J24" t="str">
            <v>ARAÇATUBA</v>
          </cell>
        </row>
        <row r="25">
          <cell r="B25">
            <v>13</v>
          </cell>
          <cell r="C25" t="str">
            <v>HIPER</v>
          </cell>
          <cell r="D25" t="str">
            <v>VENDEDOR</v>
          </cell>
          <cell r="E25" t="str">
            <v>VENDEDOR13</v>
          </cell>
          <cell r="F25">
            <v>1993</v>
          </cell>
          <cell r="G25" t="str">
            <v>CR CARVALHO</v>
          </cell>
          <cell r="H25" t="str">
            <v>25.118.348/0002-90</v>
          </cell>
          <cell r="I25" t="str">
            <v>ALOHA SPORTS SERVICE LTDA - 57.845.731/0001-55</v>
          </cell>
          <cell r="J25" t="str">
            <v>SOROCABA</v>
          </cell>
        </row>
        <row r="26">
          <cell r="B26">
            <v>13</v>
          </cell>
          <cell r="C26"/>
          <cell r="D26" t="str">
            <v>CAIXA</v>
          </cell>
          <cell r="E26" t="str">
            <v>CAIXA13</v>
          </cell>
          <cell r="F26">
            <v>2235.4499999999998</v>
          </cell>
          <cell r="G26"/>
          <cell r="H26"/>
          <cell r="I26" t="str">
            <v>ALOHA SPORTS SERVICE LTDA - 57.845.731/0001-55</v>
          </cell>
          <cell r="J26" t="str">
            <v>SOROCABA</v>
          </cell>
        </row>
        <row r="27">
          <cell r="B27">
            <v>14</v>
          </cell>
          <cell r="C27">
            <v>66</v>
          </cell>
          <cell r="D27" t="str">
            <v>VENDEDOR</v>
          </cell>
          <cell r="E27" t="str">
            <v>VENDEDOR14</v>
          </cell>
          <cell r="F27">
            <v>1971.6</v>
          </cell>
          <cell r="G27" t="str">
            <v>CARVALHO SURF &amp; SKATE</v>
          </cell>
          <cell r="H27" t="str">
            <v>28.870.303/0009-31</v>
          </cell>
          <cell r="I27" t="str">
            <v>JR STREETWEAR SERVICE LTDA - 57.845.675/0001-59</v>
          </cell>
          <cell r="J27" t="str">
            <v>CAMPO GRANDE</v>
          </cell>
        </row>
        <row r="28">
          <cell r="B28">
            <v>14</v>
          </cell>
          <cell r="C28"/>
          <cell r="D28" t="str">
            <v>CAIXA</v>
          </cell>
          <cell r="E28" t="str">
            <v>CAIXA14</v>
          </cell>
          <cell r="F28">
            <v>1830</v>
          </cell>
          <cell r="G28"/>
          <cell r="H28"/>
          <cell r="I28" t="str">
            <v>JR STREETWEAR SERVICE LTDA - 57.845.675/0001-59</v>
          </cell>
          <cell r="J28" t="str">
            <v>CAMPO GRANDE</v>
          </cell>
        </row>
        <row r="29">
          <cell r="B29">
            <v>15</v>
          </cell>
          <cell r="C29" t="str">
            <v>46/69</v>
          </cell>
          <cell r="D29" t="str">
            <v>VENDEDOR</v>
          </cell>
          <cell r="E29" t="str">
            <v>VENDEDOR15</v>
          </cell>
          <cell r="F29">
            <v>2013</v>
          </cell>
          <cell r="G29" t="str">
            <v>CARVALHO SURF &amp; SKATE</v>
          </cell>
          <cell r="H29" t="str">
            <v>28.870.303/0010-75</v>
          </cell>
          <cell r="I29" t="str">
            <v>ALOHA SPORTS SERVICE LTDA - 57.845.731/0001-55</v>
          </cell>
          <cell r="J29" t="str">
            <v>SÃO ROQUE</v>
          </cell>
        </row>
        <row r="30">
          <cell r="B30">
            <v>15</v>
          </cell>
          <cell r="C30"/>
          <cell r="D30" t="str">
            <v>CAIXA</v>
          </cell>
          <cell r="E30" t="str">
            <v>CAIXA15</v>
          </cell>
          <cell r="F30">
            <v>2164</v>
          </cell>
          <cell r="G30"/>
          <cell r="H30"/>
          <cell r="I30" t="str">
            <v>ALOHA SPORTS SERVICE LTDA - 57.845.731/0001-55</v>
          </cell>
          <cell r="J30" t="str">
            <v>SÃO ROQUE</v>
          </cell>
        </row>
        <row r="31">
          <cell r="B31">
            <v>16</v>
          </cell>
          <cell r="C31">
            <v>114</v>
          </cell>
          <cell r="D31" t="str">
            <v>VENDEDOR</v>
          </cell>
          <cell r="E31" t="str">
            <v>VENDEDOR16</v>
          </cell>
          <cell r="F31">
            <v>1987</v>
          </cell>
          <cell r="G31" t="str">
            <v>L CARVALHO LTDA</v>
          </cell>
          <cell r="H31" t="str">
            <v>50.206.605/0001-01</v>
          </cell>
          <cell r="I31" t="str">
            <v>ALOHA SPORTS SERVICE LTDA - 57.845.731/0001-55</v>
          </cell>
          <cell r="J31" t="str">
            <v>S. J. RIO PRETO</v>
          </cell>
        </row>
        <row r="32">
          <cell r="B32">
            <v>16</v>
          </cell>
          <cell r="C32"/>
          <cell r="D32" t="str">
            <v>CAIXA</v>
          </cell>
          <cell r="E32" t="str">
            <v>CAIXA16</v>
          </cell>
          <cell r="F32">
            <v>2127</v>
          </cell>
          <cell r="G32"/>
          <cell r="H32"/>
          <cell r="I32" t="str">
            <v>ALOHA SPORTS SERVICE LTDA - 57.845.731/0001-55</v>
          </cell>
          <cell r="J32" t="str">
            <v>S. J. RIO PRETO</v>
          </cell>
        </row>
        <row r="33">
          <cell r="B33">
            <v>19</v>
          </cell>
          <cell r="C33">
            <v>111</v>
          </cell>
          <cell r="D33" t="str">
            <v>VENDEDOR</v>
          </cell>
          <cell r="E33" t="str">
            <v>VENDEDOR19</v>
          </cell>
          <cell r="F33">
            <v>1634.96</v>
          </cell>
          <cell r="G33" t="str">
            <v>CARVALHO MORAES</v>
          </cell>
          <cell r="H33" t="str">
            <v>49.182.412/0001-89</v>
          </cell>
          <cell r="I33" t="str">
            <v>JR STREETWEAR SERVICE LTDA - 57.845.675/0001-59</v>
          </cell>
          <cell r="J33" t="str">
            <v>BELO HORIZONTE</v>
          </cell>
        </row>
        <row r="34">
          <cell r="B34">
            <v>19</v>
          </cell>
          <cell r="C34"/>
          <cell r="D34" t="str">
            <v>CAIXA</v>
          </cell>
          <cell r="E34" t="str">
            <v>CAIXA19</v>
          </cell>
          <cell r="F34">
            <v>1578.25</v>
          </cell>
          <cell r="G34"/>
          <cell r="H34"/>
          <cell r="I34" t="str">
            <v>JR STREETWEAR SERVICE LTDA - 57.845.675/0001-59</v>
          </cell>
          <cell r="J34" t="str">
            <v>BELO HORIZONTE</v>
          </cell>
        </row>
        <row r="35">
          <cell r="B35">
            <v>20</v>
          </cell>
          <cell r="C35" t="str">
            <v>94/152</v>
          </cell>
          <cell r="D35" t="str">
            <v>VENDEDOR</v>
          </cell>
          <cell r="E35" t="str">
            <v>VENDEDOR20</v>
          </cell>
          <cell r="F35">
            <v>1951.43</v>
          </cell>
          <cell r="G35" t="str">
            <v>FOOTWEAR INDAIATUBA</v>
          </cell>
          <cell r="H35" t="str">
            <v>44.658.525/0001-94</v>
          </cell>
          <cell r="I35" t="str">
            <v>JR STREETWEAR SERVICE LTDA - 57.845.675/0001-59</v>
          </cell>
          <cell r="J35" t="str">
            <v>INDAIATUBA</v>
          </cell>
        </row>
        <row r="36">
          <cell r="B36">
            <v>20</v>
          </cell>
          <cell r="C36"/>
          <cell r="D36" t="str">
            <v>CAIXA</v>
          </cell>
          <cell r="E36" t="str">
            <v>CAIXA20</v>
          </cell>
          <cell r="F36">
            <v>2205.15</v>
          </cell>
          <cell r="G36"/>
          <cell r="H36"/>
          <cell r="I36" t="str">
            <v>JR STREETWEAR SERVICE LTDA - 57.845.675/0001-59</v>
          </cell>
          <cell r="J36" t="str">
            <v>INDAIATUBA</v>
          </cell>
        </row>
        <row r="37">
          <cell r="B37">
            <v>21</v>
          </cell>
          <cell r="C37" t="str">
            <v>79/153</v>
          </cell>
          <cell r="D37" t="str">
            <v>VENDEDOR</v>
          </cell>
          <cell r="E37" t="str">
            <v>VENDEDOR21</v>
          </cell>
          <cell r="F37">
            <v>2024</v>
          </cell>
          <cell r="G37" t="str">
            <v>FOOTWEAR ARACATUBA</v>
          </cell>
          <cell r="H37" t="str">
            <v>42.948.700/0001-52</v>
          </cell>
          <cell r="I37" t="str">
            <v>JR STREETWEAR SERVICE LTDA - 57.845.675/0001-59</v>
          </cell>
          <cell r="J37" t="str">
            <v>ARAÇATUBA</v>
          </cell>
        </row>
        <row r="38">
          <cell r="B38">
            <v>21</v>
          </cell>
          <cell r="C38"/>
          <cell r="D38" t="str">
            <v>CAIXA</v>
          </cell>
          <cell r="E38" t="str">
            <v>CAIXA21</v>
          </cell>
          <cell r="F38">
            <v>2176</v>
          </cell>
          <cell r="G38"/>
          <cell r="H38"/>
          <cell r="I38" t="str">
            <v>JR STREETWEAR SERVICE LTDA - 57.845.675/0001-59</v>
          </cell>
          <cell r="J38" t="str">
            <v>ARAÇATUBA</v>
          </cell>
        </row>
        <row r="39">
          <cell r="B39">
            <v>22</v>
          </cell>
          <cell r="C39">
            <v>82</v>
          </cell>
          <cell r="D39" t="str">
            <v>VENDEDOR</v>
          </cell>
          <cell r="E39" t="str">
            <v>VENDEDOR22</v>
          </cell>
          <cell r="F39">
            <v>1993</v>
          </cell>
          <cell r="G39" t="str">
            <v>CARVALHO SURF &amp; SKATE</v>
          </cell>
          <cell r="H39" t="str">
            <v>28.870.303/0011-56</v>
          </cell>
          <cell r="I39" t="str">
            <v>ALOHA SPORTS SERVICE LTDA - 57.845.731/0001-55</v>
          </cell>
          <cell r="J39" t="str">
            <v>SOROCABA</v>
          </cell>
        </row>
        <row r="40">
          <cell r="B40">
            <v>22</v>
          </cell>
          <cell r="C40"/>
          <cell r="D40" t="str">
            <v>CAIXA</v>
          </cell>
          <cell r="E40" t="str">
            <v>CAIXA22</v>
          </cell>
          <cell r="F40">
            <v>2235.4499999999998</v>
          </cell>
          <cell r="G40"/>
          <cell r="H40"/>
          <cell r="I40" t="str">
            <v>ALOHA SPORTS SERVICE LTDA - 57.845.731/0001-55</v>
          </cell>
          <cell r="J40" t="str">
            <v>SOROCABA</v>
          </cell>
        </row>
        <row r="41">
          <cell r="B41">
            <v>23</v>
          </cell>
          <cell r="C41">
            <v>85</v>
          </cell>
          <cell r="D41" t="str">
            <v>VENDEDOR</v>
          </cell>
          <cell r="E41" t="str">
            <v>VENDEDOR23</v>
          </cell>
          <cell r="F41">
            <v>1971.6</v>
          </cell>
          <cell r="G41" t="str">
            <v>SANTOS FOOTWEAR</v>
          </cell>
          <cell r="H41" t="str">
            <v>40.818.638/0001-59</v>
          </cell>
          <cell r="I41" t="str">
            <v>JR STREETWEAR SERVICE LTDA - 57.845.675/0001-59</v>
          </cell>
          <cell r="J41" t="str">
            <v>CAMPO GRANDE</v>
          </cell>
        </row>
        <row r="42">
          <cell r="B42">
            <v>23</v>
          </cell>
          <cell r="C42"/>
          <cell r="D42" t="str">
            <v>CAIXA</v>
          </cell>
          <cell r="E42" t="str">
            <v>CAIXA23</v>
          </cell>
          <cell r="F42">
            <v>1830</v>
          </cell>
          <cell r="G42"/>
          <cell r="H42"/>
          <cell r="I42" t="str">
            <v>JR STREETWEAR SERVICE LTDA - 57.845.675/0001-59</v>
          </cell>
          <cell r="J42" t="str">
            <v>CAMPO GRANDE</v>
          </cell>
        </row>
        <row r="43">
          <cell r="B43">
            <v>25</v>
          </cell>
          <cell r="C43">
            <v>110</v>
          </cell>
          <cell r="D43" t="str">
            <v>VENDEDOR</v>
          </cell>
          <cell r="E43" t="str">
            <v>VENDEDOR25</v>
          </cell>
          <cell r="F43">
            <v>1634.96</v>
          </cell>
          <cell r="G43" t="str">
            <v>L CARVALHO CARDOSO</v>
          </cell>
          <cell r="H43" t="str">
            <v>49.389.222/0001-37</v>
          </cell>
          <cell r="I43" t="str">
            <v>JR STREETWEAR SERVICE LTDA - 57.845.675/0001-59</v>
          </cell>
          <cell r="J43" t="str">
            <v>BELO HORIZONTE</v>
          </cell>
        </row>
        <row r="44">
          <cell r="B44">
            <v>25</v>
          </cell>
          <cell r="C44"/>
          <cell r="D44" t="str">
            <v>CAIXA</v>
          </cell>
          <cell r="E44" t="str">
            <v>CAIXA25</v>
          </cell>
          <cell r="F44">
            <v>1578.25</v>
          </cell>
          <cell r="G44"/>
          <cell r="H44"/>
          <cell r="I44" t="str">
            <v>JR STREETWEAR SERVICE LTDA - 57.845.675/0001-59</v>
          </cell>
          <cell r="J44" t="str">
            <v>BELO HORIZONTE</v>
          </cell>
        </row>
        <row r="45">
          <cell r="B45">
            <v>26</v>
          </cell>
          <cell r="C45" t="str">
            <v>89/154</v>
          </cell>
          <cell r="D45" t="str">
            <v>VENDEDOR</v>
          </cell>
          <cell r="E45" t="str">
            <v>VENDEDOR26</v>
          </cell>
          <cell r="F45">
            <v>1634.96</v>
          </cell>
          <cell r="G45" t="str">
            <v>L CARVALHO CARVALHO</v>
          </cell>
          <cell r="H45" t="str">
            <v>42.636.416/0003-02</v>
          </cell>
          <cell r="I45" t="str">
            <v>JR STREETWEAR SERVICE LTDA - 57.845.675/0001-59</v>
          </cell>
          <cell r="J45" t="str">
            <v>BELO HORIZONTE</v>
          </cell>
        </row>
        <row r="46">
          <cell r="B46">
            <v>26</v>
          </cell>
          <cell r="C46"/>
          <cell r="D46" t="str">
            <v>CAIXA</v>
          </cell>
          <cell r="E46" t="str">
            <v>CAIXA26</v>
          </cell>
          <cell r="F46">
            <v>1578.25</v>
          </cell>
          <cell r="G46"/>
          <cell r="H46"/>
          <cell r="I46" t="str">
            <v>JR STREETWEAR SERVICE LTDA - 57.845.675/0001-59</v>
          </cell>
          <cell r="J46" t="str">
            <v>BELO HORIZONTE</v>
          </cell>
        </row>
        <row r="47">
          <cell r="B47">
            <v>27</v>
          </cell>
          <cell r="C47" t="str">
            <v>80/155</v>
          </cell>
          <cell r="D47" t="str">
            <v>VENDEDOR</v>
          </cell>
          <cell r="E47" t="str">
            <v>VENDEDOR27</v>
          </cell>
          <cell r="F47">
            <v>1983.5</v>
          </cell>
          <cell r="G47" t="str">
            <v>FOOTWEAR ARARAQUARA</v>
          </cell>
          <cell r="H47" t="str">
            <v>43.065.487/0001-01</v>
          </cell>
          <cell r="I47" t="str">
            <v>JR STREETWEAR SERVICE LTDA - 57.845.675/0001-59</v>
          </cell>
          <cell r="J47" t="str">
            <v>ARARAQUARA</v>
          </cell>
        </row>
        <row r="48">
          <cell r="B48">
            <v>27</v>
          </cell>
          <cell r="C48"/>
          <cell r="D48" t="str">
            <v>CAIXA</v>
          </cell>
          <cell r="E48" t="str">
            <v>CAIXA27</v>
          </cell>
          <cell r="F48">
            <v>1983.5</v>
          </cell>
          <cell r="G48"/>
          <cell r="H48"/>
          <cell r="I48" t="str">
            <v>JR STREETWEAR SERVICE LTDA - 57.845.675/0001-59</v>
          </cell>
          <cell r="J48" t="str">
            <v>ARARAQUARA</v>
          </cell>
        </row>
        <row r="49">
          <cell r="B49">
            <v>28</v>
          </cell>
          <cell r="C49">
            <v>90</v>
          </cell>
          <cell r="D49" t="str">
            <v>VENDEDOR</v>
          </cell>
          <cell r="E49" t="str">
            <v>VENDEDOR28</v>
          </cell>
          <cell r="F49">
            <v>2005</v>
          </cell>
          <cell r="G49" t="str">
            <v>CARVALHO SURF &amp; SKATE</v>
          </cell>
          <cell r="H49" t="str">
            <v>28.870.303/0013-18</v>
          </cell>
          <cell r="I49" t="str">
            <v>ALOHA SPORTS SERVICE LTDA - 57.845.731/0001-55</v>
          </cell>
          <cell r="J49" t="str">
            <v>SÃO CARLOS</v>
          </cell>
        </row>
        <row r="50">
          <cell r="B50">
            <v>28</v>
          </cell>
          <cell r="C50"/>
          <cell r="D50" t="str">
            <v>CAIXA</v>
          </cell>
          <cell r="E50" t="str">
            <v>CAIXA28</v>
          </cell>
          <cell r="F50">
            <v>2154</v>
          </cell>
          <cell r="G50"/>
          <cell r="H50"/>
          <cell r="I50" t="str">
            <v>ALOHA SPORTS SERVICE LTDA - 57.845.731/0001-55</v>
          </cell>
          <cell r="J50" t="str">
            <v>SÃO CARLOS</v>
          </cell>
        </row>
        <row r="51">
          <cell r="B51">
            <v>29</v>
          </cell>
          <cell r="C51">
            <v>95</v>
          </cell>
          <cell r="D51" t="str">
            <v>VENDEDOR</v>
          </cell>
          <cell r="E51" t="str">
            <v>VENDEDOR29</v>
          </cell>
          <cell r="F51">
            <v>2000</v>
          </cell>
          <cell r="G51" t="str">
            <v>LORENA CARVALHO</v>
          </cell>
          <cell r="H51" t="str">
            <v>45.178.675/0001-63</v>
          </cell>
          <cell r="I51" t="str">
            <v>JR STREETWEAR SERVICE LTDA - 57.845.675/0001-59</v>
          </cell>
          <cell r="J51" t="str">
            <v>TRÊS LAGOAS</v>
          </cell>
        </row>
        <row r="52">
          <cell r="B52">
            <v>29</v>
          </cell>
          <cell r="C52"/>
          <cell r="D52" t="str">
            <v>CAIXA</v>
          </cell>
          <cell r="E52" t="str">
            <v>CAIXA29</v>
          </cell>
          <cell r="F52">
            <v>2000</v>
          </cell>
          <cell r="G52"/>
          <cell r="H52"/>
          <cell r="I52" t="str">
            <v>JR STREETWEAR SERVICE LTDA - 57.845.675/0001-59</v>
          </cell>
          <cell r="J52" t="str">
            <v>TRÊS LAGOAS</v>
          </cell>
        </row>
        <row r="53">
          <cell r="B53">
            <v>30</v>
          </cell>
          <cell r="C53" t="str">
            <v>96/156</v>
          </cell>
          <cell r="D53" t="str">
            <v>VENDEDOR</v>
          </cell>
          <cell r="E53" t="str">
            <v>VENDEDOR30</v>
          </cell>
          <cell r="F53">
            <v>1600</v>
          </cell>
          <cell r="G53" t="str">
            <v>FOOTWEAR CUIABA</v>
          </cell>
          <cell r="H53" t="str">
            <v>45.982.660/0001-53</v>
          </cell>
          <cell r="I53" t="str">
            <v>JR STREETWEAR SERVICE LTDA - 57.845.675/0001-59</v>
          </cell>
          <cell r="J53" t="str">
            <v>CUIABA</v>
          </cell>
        </row>
        <row r="54">
          <cell r="B54">
            <v>30</v>
          </cell>
          <cell r="C54"/>
          <cell r="D54" t="str">
            <v>CAIXA</v>
          </cell>
          <cell r="E54" t="str">
            <v>CAIXA30</v>
          </cell>
          <cell r="F54">
            <v>1600</v>
          </cell>
          <cell r="G54"/>
          <cell r="H54"/>
          <cell r="I54" t="str">
            <v>JR STREETWEAR SERVICE LTDA - 57.845.675/0001-59</v>
          </cell>
          <cell r="J54" t="str">
            <v>CUIABA</v>
          </cell>
        </row>
        <row r="55">
          <cell r="B55">
            <v>32</v>
          </cell>
          <cell r="C55" t="str">
            <v>HIPER</v>
          </cell>
          <cell r="D55" t="str">
            <v>VENDEDOR</v>
          </cell>
          <cell r="E55" t="str">
            <v>VENDEDOR32</v>
          </cell>
          <cell r="F55">
            <v>1993</v>
          </cell>
          <cell r="G55" t="str">
            <v>ALOHA CONFIANÇA</v>
          </cell>
          <cell r="H55" t="str">
            <v>48.277.343/0001-24</v>
          </cell>
          <cell r="I55" t="str">
            <v>ALOHA SPORTS SERVICE LTDA - 57.845.731/0001-55</v>
          </cell>
          <cell r="J55" t="str">
            <v>SOROCABA</v>
          </cell>
        </row>
        <row r="56">
          <cell r="B56">
            <v>32</v>
          </cell>
          <cell r="C56"/>
          <cell r="D56" t="str">
            <v>CAIXA</v>
          </cell>
          <cell r="E56" t="str">
            <v>CAIXA32</v>
          </cell>
          <cell r="F56">
            <v>2235.4499999999998</v>
          </cell>
          <cell r="G56"/>
          <cell r="H56"/>
          <cell r="I56" t="str">
            <v>ALOHA SPORTS SERVICE LTDA - 57.845.731/0001-55</v>
          </cell>
          <cell r="J56" t="str">
            <v>SOROCABA</v>
          </cell>
        </row>
        <row r="57">
          <cell r="B57">
            <v>33</v>
          </cell>
          <cell r="C57" t="str">
            <v>107/157</v>
          </cell>
          <cell r="D57" t="str">
            <v>VENDEDOR</v>
          </cell>
          <cell r="E57" t="str">
            <v>VENDEDOR33</v>
          </cell>
          <cell r="F57">
            <v>1614.38</v>
          </cell>
          <cell r="G57" t="str">
            <v>FOOTWEAR UBERLANDIA</v>
          </cell>
          <cell r="H57" t="str">
            <v>48.089.580/0001-61</v>
          </cell>
          <cell r="I57" t="str">
            <v>JR STREETWEAR SERVICE LTDA - 57.845.675/0001-59</v>
          </cell>
          <cell r="J57" t="str">
            <v>UBERLANDIA</v>
          </cell>
        </row>
        <row r="58">
          <cell r="B58">
            <v>33</v>
          </cell>
          <cell r="C58"/>
          <cell r="D58" t="str">
            <v>CAIXA</v>
          </cell>
          <cell r="E58" t="str">
            <v>CAIXA33</v>
          </cell>
          <cell r="F58">
            <v>1614.38</v>
          </cell>
          <cell r="G58"/>
          <cell r="H58"/>
          <cell r="I58" t="str">
            <v>JR STREETWEAR SERVICE LTDA - 57.845.675/0001-59</v>
          </cell>
          <cell r="J58" t="str">
            <v>UBERLANDIA</v>
          </cell>
        </row>
        <row r="59">
          <cell r="B59">
            <v>34</v>
          </cell>
          <cell r="C59">
            <v>115</v>
          </cell>
          <cell r="D59" t="str">
            <v>VENDEDOR</v>
          </cell>
          <cell r="E59" t="str">
            <v>VENDEDOR34</v>
          </cell>
          <cell r="F59">
            <v>1600</v>
          </cell>
          <cell r="G59" t="str">
            <v>FOOT.WEAR CARVALHO LTDA</v>
          </cell>
          <cell r="H59" t="str">
            <v>50.357.994/0001-76</v>
          </cell>
          <cell r="I59" t="str">
            <v>JR STREETWEAR SERVICE LTDA - 57.845.675/0001-59</v>
          </cell>
          <cell r="J59" t="str">
            <v>CUIABA</v>
          </cell>
        </row>
        <row r="60">
          <cell r="B60">
            <v>34</v>
          </cell>
          <cell r="C60"/>
          <cell r="D60" t="str">
            <v>CAIXA</v>
          </cell>
          <cell r="E60" t="str">
            <v>CAIXA34</v>
          </cell>
          <cell r="F60">
            <v>1600</v>
          </cell>
          <cell r="G60"/>
          <cell r="H60"/>
          <cell r="I60" t="str">
            <v>JR STREETWEAR SERVICE LTDA - 57.845.675/0001-59</v>
          </cell>
          <cell r="J60" t="str">
            <v>CUIABA</v>
          </cell>
        </row>
        <row r="61">
          <cell r="B61">
            <v>35</v>
          </cell>
          <cell r="C61">
            <v>120</v>
          </cell>
          <cell r="D61" t="str">
            <v>VENDEDOR</v>
          </cell>
          <cell r="E61" t="str">
            <v>VENDEDOR35</v>
          </cell>
          <cell r="F61">
            <v>1560</v>
          </cell>
          <cell r="G61" t="str">
            <v>FOOTWEAR PALMAS</v>
          </cell>
          <cell r="H61" t="str">
            <v>51.158.857/0001-75</v>
          </cell>
          <cell r="I61">
            <v>35</v>
          </cell>
          <cell r="J61" t="str">
            <v>PALMAS</v>
          </cell>
        </row>
        <row r="62">
          <cell r="B62">
            <v>35</v>
          </cell>
          <cell r="C62"/>
          <cell r="D62" t="str">
            <v>CAIXA</v>
          </cell>
          <cell r="E62" t="str">
            <v>CAIXA35</v>
          </cell>
          <cell r="F62">
            <v>1560</v>
          </cell>
          <cell r="G62"/>
          <cell r="H62"/>
          <cell r="I62">
            <v>35</v>
          </cell>
          <cell r="J62" t="str">
            <v>PALMAS</v>
          </cell>
        </row>
        <row r="63">
          <cell r="B63">
            <v>36</v>
          </cell>
          <cell r="C63" t="str">
            <v>119/161</v>
          </cell>
          <cell r="D63" t="str">
            <v>VENDEDOR</v>
          </cell>
          <cell r="E63" t="str">
            <v>VENDEDOR36</v>
          </cell>
          <cell r="F63">
            <v>2125</v>
          </cell>
          <cell r="G63" t="str">
            <v>C. RS CALCADOS E CONFECCOES</v>
          </cell>
          <cell r="H63" t="str">
            <v>51.210.100/0001-83</v>
          </cell>
          <cell r="I63" t="str">
            <v>ALOHA SPORTS SERVICE LTDA - 57.845.731/0001-55</v>
          </cell>
          <cell r="J63" t="str">
            <v>FLORIANÓPOLIS</v>
          </cell>
        </row>
        <row r="64">
          <cell r="B64">
            <v>36</v>
          </cell>
          <cell r="C64"/>
          <cell r="D64" t="str">
            <v>CAIXA</v>
          </cell>
          <cell r="E64" t="str">
            <v>CAIXA36</v>
          </cell>
          <cell r="F64">
            <v>2125</v>
          </cell>
          <cell r="G64"/>
          <cell r="H64"/>
          <cell r="I64" t="str">
            <v>ALOHA SPORTS SERVICE LTDA - 57.845.731/0001-55</v>
          </cell>
          <cell r="J64" t="str">
            <v>FLORIANÓPOLIS</v>
          </cell>
        </row>
        <row r="65">
          <cell r="B65">
            <v>37</v>
          </cell>
          <cell r="C65">
            <v>76</v>
          </cell>
          <cell r="D65" t="str">
            <v>VENDEDOR</v>
          </cell>
          <cell r="E65" t="str">
            <v>VENDEDOR37</v>
          </cell>
          <cell r="F65">
            <v>2013</v>
          </cell>
          <cell r="G65" t="str">
            <v>K K CARVALHO (EXP. CATARINA)</v>
          </cell>
          <cell r="H65" t="str">
            <v>42.908.499/0001-80</v>
          </cell>
          <cell r="I65" t="str">
            <v>ALOHA SPORTS SERVICE LTDA - 57.845.731/0001-55</v>
          </cell>
          <cell r="J65" t="str">
            <v>SÃO ROQUE</v>
          </cell>
        </row>
        <row r="66">
          <cell r="B66">
            <v>37</v>
          </cell>
          <cell r="C66"/>
          <cell r="D66" t="str">
            <v>CAIXA</v>
          </cell>
          <cell r="E66" t="str">
            <v>CAIXA37</v>
          </cell>
          <cell r="F66">
            <v>2164</v>
          </cell>
          <cell r="G66"/>
          <cell r="H66"/>
          <cell r="I66" t="str">
            <v>ALOHA SPORTS SERVICE LTDA - 57.845.731/0001-55</v>
          </cell>
          <cell r="J66" t="str">
            <v>SÃO ROQUE</v>
          </cell>
        </row>
        <row r="67">
          <cell r="B67">
            <v>38</v>
          </cell>
          <cell r="C67">
            <v>127</v>
          </cell>
          <cell r="D67" t="str">
            <v>VENDEDOR</v>
          </cell>
          <cell r="E67" t="str">
            <v>VENDEDOR38</v>
          </cell>
          <cell r="F67">
            <v>1518</v>
          </cell>
          <cell r="G67" t="str">
            <v>CR FOOTWEAR SINOP</v>
          </cell>
          <cell r="H67" t="str">
            <v>52.272.554/0001-41</v>
          </cell>
          <cell r="I67" t="str">
            <v>JR STREETWEAR SERVICE LTDA - 57.845.675/0001-59</v>
          </cell>
          <cell r="J67" t="str">
            <v>SINOP</v>
          </cell>
        </row>
        <row r="68">
          <cell r="B68">
            <v>38</v>
          </cell>
          <cell r="C68"/>
          <cell r="D68" t="str">
            <v>CAIXA</v>
          </cell>
          <cell r="E68" t="str">
            <v>CAIXA38</v>
          </cell>
          <cell r="F68">
            <v>1518</v>
          </cell>
          <cell r="G68"/>
          <cell r="H68"/>
          <cell r="I68" t="str">
            <v>JR STREETWEAR SERVICE LTDA - 57.845.675/0001-59</v>
          </cell>
          <cell r="J68" t="str">
            <v>SINOP</v>
          </cell>
        </row>
        <row r="69">
          <cell r="B69">
            <v>39</v>
          </cell>
          <cell r="C69">
            <v>48</v>
          </cell>
          <cell r="D69" t="str">
            <v>VENDEDOR</v>
          </cell>
          <cell r="E69" t="str">
            <v>VENDEDOR39</v>
          </cell>
          <cell r="F69">
            <v>1971.6</v>
          </cell>
          <cell r="G69" t="str">
            <v>CARVALHO SURF SKATE NORTE SUL</v>
          </cell>
          <cell r="H69" t="str">
            <v>28.870.303/0003-46</v>
          </cell>
          <cell r="I69" t="str">
            <v>JR STREETWEAR SERVICE LTDA - 57.845.675/0001-59</v>
          </cell>
          <cell r="J69" t="str">
            <v>CAMPO GRANDE</v>
          </cell>
        </row>
        <row r="70">
          <cell r="B70">
            <v>39</v>
          </cell>
          <cell r="C70"/>
          <cell r="D70" t="str">
            <v>CAIXA</v>
          </cell>
          <cell r="E70" t="str">
            <v>CAIXA39</v>
          </cell>
          <cell r="F70">
            <v>1830</v>
          </cell>
          <cell r="G70"/>
          <cell r="H70"/>
          <cell r="I70" t="str">
            <v>JR STREETWEAR SERVICE LTDA - 57.845.675/0001-59</v>
          </cell>
          <cell r="J70" t="str">
            <v>CAMPO GRANDE</v>
          </cell>
        </row>
        <row r="71">
          <cell r="B71">
            <v>40</v>
          </cell>
          <cell r="C71">
            <v>142</v>
          </cell>
          <cell r="D71" t="str">
            <v>VENDEDOR</v>
          </cell>
          <cell r="E71" t="str">
            <v>VENDEDOR40</v>
          </cell>
          <cell r="F71">
            <v>1979.25</v>
          </cell>
          <cell r="G71" t="str">
            <v>ALOHA SPORTS</v>
          </cell>
          <cell r="H71" t="str">
            <v>10.872.187/0005-09</v>
          </cell>
          <cell r="I71" t="str">
            <v>JR STREETWEAR SERVICE LTDA - 57.845.675/0001-59</v>
          </cell>
          <cell r="J71" t="str">
            <v>PRES. PRUDENTE</v>
          </cell>
        </row>
        <row r="72">
          <cell r="B72">
            <v>40</v>
          </cell>
          <cell r="C72"/>
          <cell r="D72" t="str">
            <v>CAIXA</v>
          </cell>
          <cell r="E72" t="str">
            <v>CAIXA40</v>
          </cell>
          <cell r="F72">
            <v>2123.1</v>
          </cell>
          <cell r="G72"/>
          <cell r="H72"/>
          <cell r="I72" t="str">
            <v>JR STREETWEAR SERVICE LTDA - 57.845.675/0001-59</v>
          </cell>
          <cell r="J72" t="str">
            <v>PRES. PRUDENTE</v>
          </cell>
        </row>
        <row r="73">
          <cell r="B73">
            <v>41</v>
          </cell>
          <cell r="C73">
            <v>149</v>
          </cell>
          <cell r="D73" t="str">
            <v>VENDEDOR</v>
          </cell>
          <cell r="E73" t="str">
            <v>VENDEDOR41</v>
          </cell>
          <cell r="F73">
            <v>1987</v>
          </cell>
          <cell r="G73" t="str">
            <v>ALOHA SPORTS</v>
          </cell>
          <cell r="H73" t="str">
            <v>10.872.187/0006-81</v>
          </cell>
          <cell r="I73" t="str">
            <v>ALOHA SPORTS SERVICE LTDA - 57.845.731/0001-55</v>
          </cell>
          <cell r="J73" t="str">
            <v>S. J. RIO PRETO</v>
          </cell>
        </row>
        <row r="74">
          <cell r="B74">
            <v>41</v>
          </cell>
          <cell r="C74"/>
          <cell r="D74" t="str">
            <v>CAIXA</v>
          </cell>
          <cell r="E74" t="str">
            <v>CAIXA41</v>
          </cell>
          <cell r="F74">
            <v>2127</v>
          </cell>
          <cell r="G74"/>
          <cell r="H74"/>
          <cell r="I74" t="str">
            <v>ALOHA SPORTS SERVICE LTDA - 57.845.731/0001-55</v>
          </cell>
          <cell r="J74" t="str">
            <v>S. J. RIO PRETO</v>
          </cell>
        </row>
        <row r="75">
          <cell r="B75">
            <v>42</v>
          </cell>
          <cell r="C75">
            <v>150</v>
          </cell>
          <cell r="D75" t="str">
            <v>VENDEDOR</v>
          </cell>
          <cell r="E75" t="str">
            <v>VENDEDOR42</v>
          </cell>
          <cell r="F75">
            <v>1970</v>
          </cell>
          <cell r="G75" t="str">
            <v>ALOHA SPORTS</v>
          </cell>
          <cell r="H75" t="str">
            <v>10.872.187/0007-62</v>
          </cell>
          <cell r="I75" t="str">
            <v>ALOHA SPORTS SERVICE LTDA - 57.845.731/0001-55</v>
          </cell>
          <cell r="J75" t="str">
            <v>BLUMENAU</v>
          </cell>
        </row>
        <row r="76">
          <cell r="B76">
            <v>42</v>
          </cell>
          <cell r="C76"/>
          <cell r="D76" t="str">
            <v>CAIXA</v>
          </cell>
          <cell r="E76" t="str">
            <v>CAIXA42</v>
          </cell>
          <cell r="F76">
            <v>1970</v>
          </cell>
          <cell r="G76"/>
          <cell r="H76"/>
          <cell r="I76" t="str">
            <v>ALOHA SPORTS SERVICE LTDA - 57.845.731/0001-55</v>
          </cell>
          <cell r="J76" t="str">
            <v>BLUMENAU</v>
          </cell>
        </row>
        <row r="77">
          <cell r="B77">
            <v>43</v>
          </cell>
          <cell r="C77">
            <v>153</v>
          </cell>
          <cell r="D77" t="str">
            <v>VENDEDOR</v>
          </cell>
          <cell r="E77" t="str">
            <v>VENDEDOR43</v>
          </cell>
          <cell r="F77">
            <v>1900</v>
          </cell>
          <cell r="G77" t="str">
            <v>ALOHA SPORTS</v>
          </cell>
          <cell r="H77" t="str">
            <v>10.872.187/0008-43</v>
          </cell>
          <cell r="I77" t="str">
            <v>ALOHA SPORTS SERVICE LTDA - 57.845.731/0001-55</v>
          </cell>
          <cell r="J77" t="str">
            <v>CRICIUMA</v>
          </cell>
        </row>
        <row r="78">
          <cell r="B78">
            <v>43</v>
          </cell>
          <cell r="C78"/>
          <cell r="D78" t="str">
            <v>CAIXA</v>
          </cell>
          <cell r="E78" t="str">
            <v>CAIXA43</v>
          </cell>
          <cell r="F78">
            <v>1900</v>
          </cell>
          <cell r="G78"/>
          <cell r="H78"/>
          <cell r="I78" t="str">
            <v>ALOHA SPORTS SERVICE LTDA - 57.845.731/0001-55</v>
          </cell>
          <cell r="J78" t="str">
            <v>CRICIUMA</v>
          </cell>
        </row>
        <row r="79">
          <cell r="B79">
            <v>44</v>
          </cell>
          <cell r="C79"/>
          <cell r="D79" t="str">
            <v>VENDEDOR</v>
          </cell>
          <cell r="E79" t="str">
            <v>VENDEDOR44</v>
          </cell>
          <cell r="F79"/>
          <cell r="G79" t="str">
            <v>ALOHA SPORTS</v>
          </cell>
          <cell r="H79" t="str">
            <v>10.872.187/0010-68</v>
          </cell>
          <cell r="I79" t="str">
            <v>ALOHA SPORTS SERVICE LTDA - 57.845.731/0001-55</v>
          </cell>
          <cell r="J79" t="str">
            <v>CHAPECÓ</v>
          </cell>
        </row>
        <row r="80">
          <cell r="B80">
            <v>44</v>
          </cell>
          <cell r="C80"/>
          <cell r="D80" t="str">
            <v>CAIXA</v>
          </cell>
          <cell r="E80" t="str">
            <v>CAIXA44</v>
          </cell>
          <cell r="F80"/>
          <cell r="G80"/>
          <cell r="H80"/>
          <cell r="I80" t="str">
            <v>ALOHA SPORTS SERVICE LTDA - 57.845.731/0001-55</v>
          </cell>
          <cell r="J80" t="str">
            <v>CHAPECÓ</v>
          </cell>
        </row>
        <row r="81">
          <cell r="B81" t="str">
            <v>SMA</v>
          </cell>
          <cell r="C81" t="str">
            <v>HIPER</v>
          </cell>
          <cell r="D81" t="str">
            <v>VENDEDOR</v>
          </cell>
          <cell r="E81" t="str">
            <v>VENDEDORSMA</v>
          </cell>
          <cell r="F81">
            <v>1608.28</v>
          </cell>
          <cell r="G81" t="str">
            <v>CARVALHO E FRANCA</v>
          </cell>
          <cell r="H81" t="str">
            <v>38.614.025/0001-58</v>
          </cell>
          <cell r="I81" t="str">
            <v>SMA</v>
          </cell>
          <cell r="J81" t="str">
            <v>S. M. ARCANJO.</v>
          </cell>
        </row>
        <row r="82">
          <cell r="B82" t="str">
            <v>SMA</v>
          </cell>
          <cell r="C82"/>
          <cell r="D82" t="str">
            <v>CAIXA</v>
          </cell>
          <cell r="E82" t="str">
            <v>CAIXASMA</v>
          </cell>
          <cell r="F82">
            <v>1608.28</v>
          </cell>
          <cell r="G82"/>
          <cell r="H82"/>
          <cell r="I82" t="str">
            <v>SMA</v>
          </cell>
          <cell r="J82" t="str">
            <v>S. M. ARCANJO.</v>
          </cell>
        </row>
        <row r="83">
          <cell r="B83" t="str">
            <v>ESCRITORIO</v>
          </cell>
          <cell r="C83"/>
          <cell r="D83" t="str">
            <v>ESTAGIO</v>
          </cell>
          <cell r="E83" t="str">
            <v>ESTAGIOESCRITORIO</v>
          </cell>
          <cell r="F83">
            <v>1000</v>
          </cell>
          <cell r="G83"/>
          <cell r="H83"/>
          <cell r="I83" t="str">
            <v>ALOHA SPORTS SERVICE LTDA - 57.845.731/0001-55</v>
          </cell>
          <cell r="J83" t="str">
            <v>SOROCABA</v>
          </cell>
        </row>
        <row r="84">
          <cell r="B84" t="str">
            <v>ESCRITORIO</v>
          </cell>
          <cell r="C84"/>
          <cell r="D84" t="str">
            <v>AUXILIAR ADM</v>
          </cell>
          <cell r="E84" t="str">
            <v>AUXILIAR ADMESCRITORIO</v>
          </cell>
          <cell r="F84">
            <v>1993</v>
          </cell>
          <cell r="G84"/>
          <cell r="H84"/>
          <cell r="I84" t="str">
            <v>ALOHA SPORTS SERVICE LTDA - 57.845.731/0001-55</v>
          </cell>
          <cell r="J84" t="str">
            <v>SOROCABA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17"/>
  <sheetViews>
    <sheetView tabSelected="1" workbookViewId="0">
      <selection activeCell="J10" sqref="J10"/>
    </sheetView>
  </sheetViews>
  <sheetFormatPr defaultRowHeight="15" x14ac:dyDescent="0.25"/>
  <cols>
    <col min="2" max="2" width="22.140625" customWidth="1"/>
    <col min="3" max="3" width="13.7109375" bestFit="1" customWidth="1"/>
    <col min="6" max="6" width="16.5703125" customWidth="1"/>
    <col min="7" max="7" width="13.5703125" customWidth="1"/>
    <col min="9" max="9" width="26.28515625" customWidth="1"/>
    <col min="10" max="10" width="43.85546875" customWidth="1"/>
  </cols>
  <sheetData>
    <row r="1" spans="2:11" ht="15.75" thickBot="1" x14ac:dyDescent="0.3"/>
    <row r="2" spans="2:11" ht="15" customHeight="1" x14ac:dyDescent="0.25">
      <c r="B2" s="29" t="s">
        <v>0</v>
      </c>
      <c r="C2" s="30"/>
      <c r="D2" s="30"/>
      <c r="E2" s="30"/>
      <c r="F2" s="30"/>
      <c r="G2" s="30"/>
      <c r="H2" s="30"/>
      <c r="I2" s="30"/>
      <c r="J2" s="31"/>
      <c r="K2" s="1"/>
    </row>
    <row r="3" spans="2:11" ht="15.75" customHeight="1" thickBot="1" x14ac:dyDescent="0.3">
      <c r="B3" s="32"/>
      <c r="C3" s="33"/>
      <c r="D3" s="33"/>
      <c r="E3" s="33"/>
      <c r="F3" s="33"/>
      <c r="G3" s="33"/>
      <c r="H3" s="33"/>
      <c r="I3" s="33"/>
      <c r="J3" s="34"/>
      <c r="K3" s="1"/>
    </row>
    <row r="4" spans="2:11" ht="18" thickBot="1" x14ac:dyDescent="0.3">
      <c r="B4" s="21" t="s">
        <v>1</v>
      </c>
      <c r="C4" s="22"/>
      <c r="D4" s="22"/>
      <c r="E4" s="22"/>
      <c r="F4" s="22"/>
      <c r="G4" s="22"/>
      <c r="H4" s="22"/>
      <c r="I4" s="22"/>
      <c r="J4" s="23"/>
      <c r="K4" s="1"/>
    </row>
    <row r="5" spans="2:11" ht="17.25" customHeight="1" x14ac:dyDescent="0.25">
      <c r="B5" s="24" t="s">
        <v>2</v>
      </c>
      <c r="C5" s="26" t="str">
        <f>conversao_de_dados!C2</f>
        <v/>
      </c>
      <c r="D5" s="27"/>
      <c r="E5" s="27"/>
      <c r="F5" s="27"/>
      <c r="G5" s="27"/>
      <c r="H5" s="27"/>
      <c r="I5" s="27"/>
      <c r="J5" s="28"/>
      <c r="K5" s="8"/>
    </row>
    <row r="6" spans="2:11" ht="18" customHeight="1" thickBot="1" x14ac:dyDescent="0.3">
      <c r="B6" s="25"/>
      <c r="C6" s="35" t="s">
        <v>3</v>
      </c>
      <c r="D6" s="36"/>
      <c r="E6" s="36"/>
      <c r="F6" s="36"/>
      <c r="G6" s="36"/>
      <c r="H6" s="36"/>
      <c r="I6" s="13" t="str">
        <f>conversao_de_dados!C3</f>
        <v/>
      </c>
      <c r="J6" s="14"/>
      <c r="K6" s="8"/>
    </row>
    <row r="7" spans="2:11" ht="18" thickBot="1" x14ac:dyDescent="0.3">
      <c r="B7" s="2" t="s">
        <v>4</v>
      </c>
      <c r="C7" s="37"/>
      <c r="D7" s="38"/>
      <c r="E7" s="38"/>
      <c r="F7" s="38"/>
      <c r="G7" s="38"/>
      <c r="H7" s="38"/>
      <c r="I7" s="38"/>
      <c r="J7" s="39"/>
      <c r="K7" s="1"/>
    </row>
    <row r="8" spans="2:11" ht="18" thickBot="1" x14ac:dyDescent="0.3">
      <c r="B8" s="2" t="s">
        <v>5</v>
      </c>
      <c r="C8" s="40"/>
      <c r="D8" s="41"/>
      <c r="E8" s="41"/>
      <c r="F8" s="41"/>
      <c r="G8" s="42"/>
      <c r="H8" s="42"/>
      <c r="I8" s="42"/>
      <c r="J8" s="43"/>
      <c r="K8" s="1"/>
    </row>
    <row r="9" spans="2:11" ht="18" thickBot="1" x14ac:dyDescent="0.3">
      <c r="B9" s="2" t="s">
        <v>8</v>
      </c>
      <c r="C9" s="48"/>
      <c r="D9" s="49"/>
      <c r="E9" s="49"/>
      <c r="F9" s="49"/>
      <c r="G9" s="49"/>
      <c r="H9" s="49"/>
      <c r="I9" s="49"/>
      <c r="J9" s="50"/>
      <c r="K9" s="1"/>
    </row>
    <row r="10" spans="2:11" ht="20.25" customHeight="1" thickBot="1" x14ac:dyDescent="0.3">
      <c r="B10" s="2" t="s">
        <v>6</v>
      </c>
      <c r="C10" s="20">
        <f>(WORKDAY(conversao_de_dados!C5,2))</f>
        <v>3</v>
      </c>
      <c r="D10" s="17"/>
      <c r="E10" s="46" t="s">
        <v>7</v>
      </c>
      <c r="F10" s="47"/>
      <c r="G10" s="9"/>
      <c r="H10" s="10"/>
      <c r="I10" s="11" t="s">
        <v>23</v>
      </c>
      <c r="J10" s="12"/>
      <c r="K10" s="1"/>
    </row>
    <row r="11" spans="2:11" ht="21" customHeight="1" thickBot="1" x14ac:dyDescent="0.3">
      <c r="B11" s="5" t="s">
        <v>9</v>
      </c>
      <c r="C11" s="37" t="s">
        <v>24</v>
      </c>
      <c r="D11" s="39"/>
      <c r="E11" s="46" t="s">
        <v>10</v>
      </c>
      <c r="F11" s="47"/>
      <c r="G11" s="44"/>
      <c r="H11" s="44"/>
      <c r="I11" s="44"/>
      <c r="J11" s="45"/>
      <c r="K11" s="1"/>
    </row>
    <row r="12" spans="2:11" ht="18" thickBot="1" x14ac:dyDescent="0.3">
      <c r="B12" s="4" t="s">
        <v>11</v>
      </c>
      <c r="C12" s="57" t="str">
        <f>conversao_de_dados!C7</f>
        <v/>
      </c>
      <c r="D12" s="58"/>
      <c r="E12" s="55" t="s">
        <v>12</v>
      </c>
      <c r="F12" s="56"/>
      <c r="G12" s="15" t="str">
        <f>conversao_de_dados!C6</f>
        <v/>
      </c>
      <c r="H12" s="16"/>
      <c r="I12" s="19" t="s">
        <v>13</v>
      </c>
      <c r="J12" s="18"/>
      <c r="K12" s="1"/>
    </row>
    <row r="13" spans="2:11" ht="18" customHeight="1" thickBot="1" x14ac:dyDescent="0.3">
      <c r="B13" s="59" t="s">
        <v>14</v>
      </c>
      <c r="C13" s="60"/>
      <c r="D13" s="60"/>
      <c r="E13" s="60"/>
      <c r="F13" s="60"/>
      <c r="G13" s="60"/>
      <c r="H13" s="60"/>
      <c r="I13" s="60"/>
      <c r="J13" s="61"/>
      <c r="K13" s="1"/>
    </row>
    <row r="14" spans="2:11" ht="18" thickBot="1" x14ac:dyDescent="0.3">
      <c r="B14" s="46" t="s">
        <v>15</v>
      </c>
      <c r="C14" s="51"/>
      <c r="D14" s="6" t="str">
        <f>IF(conversao_de_dados!$C$4="ABERTURA","09:30",IF(conversao_de_dados!$C$4="HORISTA","10:00",IF(conversao_de_dados!$C$4="FECHAMENTO","14:00","")))</f>
        <v/>
      </c>
      <c r="E14" s="3" t="s">
        <v>16</v>
      </c>
      <c r="F14" s="6" t="str">
        <f>IF(conversao_de_dados!$C$4="ABERTURA","17:30",IF(conversao_de_dados!$C$4="HORISTA","16:00",IF(conversao_de_dados!$C$4="FECHAMENTO","22:00","")))</f>
        <v/>
      </c>
      <c r="G14" s="3" t="s">
        <v>17</v>
      </c>
      <c r="H14" s="7" t="str">
        <f>IF(conversao_de_dados!$C$4="ABERTURA","14:00",IF(conversao_de_dados!$C$4="HORISTA","14:00",IF(conversao_de_dados!$C$4="FECHAMENTO","16:00","")))</f>
        <v/>
      </c>
      <c r="I14" s="3" t="s">
        <v>18</v>
      </c>
      <c r="J14" s="3" t="str">
        <f>IF(conversao_de_dados!$C$4="ABERTURA","15:00",IF(conversao_de_dados!$C$4="HORISTA","14:15",IF(conversao_de_dados!$C$4="FECHAMENTO","17:00","")))</f>
        <v/>
      </c>
      <c r="K14" s="1"/>
    </row>
    <row r="15" spans="2:11" ht="18" thickBot="1" x14ac:dyDescent="0.3">
      <c r="B15" s="46" t="s">
        <v>19</v>
      </c>
      <c r="C15" s="51"/>
      <c r="D15" s="6" t="str">
        <f>IF(conversao_de_dados!$C$4="ABERTURA","09:30",IF(conversao_de_dados!$C$4="HORISTA","10:00",IF(conversao_de_dados!$C$4="FECHAMENTO","14:00","")))</f>
        <v/>
      </c>
      <c r="E15" s="3" t="s">
        <v>18</v>
      </c>
      <c r="F15" s="6" t="str">
        <f>IF(conversao_de_dados!$C$4="ABERTURA","17:30",IF(conversao_de_dados!$C$4="HORISTA","16:00",IF(conversao_de_dados!$C$4="FECHAMENTO","22:00","")))</f>
        <v/>
      </c>
      <c r="G15" s="3" t="s">
        <v>17</v>
      </c>
      <c r="H15" s="7" t="str">
        <f>IF(conversao_de_dados!$C$4="ABERTURA","14:00",IF(conversao_de_dados!$C$4="HORISTA","14:00",IF(conversao_de_dados!$C$4="FECHAMENTO","16:00","")))</f>
        <v/>
      </c>
      <c r="I15" s="3" t="s">
        <v>18</v>
      </c>
      <c r="J15" s="3" t="str">
        <f>IF(conversao_de_dados!$C$4="ABERTURA","15:00",IF(conversao_de_dados!$C$4="HORISTA","14:15",IF(conversao_de_dados!$C$4="FECHAMENTO","17:00","")))</f>
        <v/>
      </c>
      <c r="K15" s="1"/>
    </row>
    <row r="16" spans="2:11" ht="18" thickBot="1" x14ac:dyDescent="0.3">
      <c r="B16" s="46" t="s">
        <v>20</v>
      </c>
      <c r="C16" s="47"/>
      <c r="D16" s="6" t="str">
        <f>IF(conversao_de_dados!$C$4="ABERTURA","09:30",IF(conversao_de_dados!$C$4="HORISTA","10:00",IF(conversao_de_dados!$C$4="FECHAMENTO","14:00","")))</f>
        <v/>
      </c>
      <c r="E16" s="3" t="s">
        <v>18</v>
      </c>
      <c r="F16" s="6" t="str">
        <f>IF(conversao_de_dados!$C$4="ABERTURA","19:30",IF(conversao_de_dados!$C$4="HORISTA","16:00",IF(conversao_de_dados!$C$4="FECHAMENTO","22:00","")))</f>
        <v/>
      </c>
      <c r="G16" s="3" t="s">
        <v>17</v>
      </c>
      <c r="H16" s="7" t="str">
        <f>IF(conversao_de_dados!$C$4="ABERTURA","14:00",IF(conversao_de_dados!$C$4="HORISTA","14:00",IF(conversao_de_dados!$C$4="FECHAMENTO","16:00","")))</f>
        <v/>
      </c>
      <c r="I16" s="3" t="s">
        <v>18</v>
      </c>
      <c r="J16" s="3" t="str">
        <f>IF(conversao_de_dados!$C$4="ABERTURA","15:00",IF(conversao_de_dados!$C$4="HORISTA","14:15",IF(conversao_de_dados!$C$4="FECHAMENTO","17:00","")))</f>
        <v/>
      </c>
      <c r="K16" s="1"/>
    </row>
    <row r="17" spans="2:11" ht="18" thickBot="1" x14ac:dyDescent="0.3">
      <c r="B17" s="46" t="s">
        <v>21</v>
      </c>
      <c r="C17" s="47"/>
      <c r="D17" s="52" t="s">
        <v>22</v>
      </c>
      <c r="E17" s="53"/>
      <c r="F17" s="53"/>
      <c r="G17" s="53"/>
      <c r="H17" s="53"/>
      <c r="I17" s="53"/>
      <c r="J17" s="54"/>
      <c r="K17" s="1"/>
    </row>
  </sheetData>
  <mergeCells count="20">
    <mergeCell ref="B15:C15"/>
    <mergeCell ref="B16:C16"/>
    <mergeCell ref="B17:C17"/>
    <mergeCell ref="D17:J17"/>
    <mergeCell ref="E11:F11"/>
    <mergeCell ref="B14:C14"/>
    <mergeCell ref="E12:F12"/>
    <mergeCell ref="C12:D12"/>
    <mergeCell ref="C11:D11"/>
    <mergeCell ref="B13:J13"/>
    <mergeCell ref="C7:J7"/>
    <mergeCell ref="C8:J8"/>
    <mergeCell ref="G11:J11"/>
    <mergeCell ref="E10:F10"/>
    <mergeCell ref="C9:J9"/>
    <mergeCell ref="B4:J4"/>
    <mergeCell ref="B5:B6"/>
    <mergeCell ref="C5:J5"/>
    <mergeCell ref="B2:J3"/>
    <mergeCell ref="C6:H6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7"/>
  <sheetViews>
    <sheetView workbookViewId="0">
      <selection activeCell="C1" sqref="C1"/>
    </sheetView>
  </sheetViews>
  <sheetFormatPr defaultRowHeight="15" x14ac:dyDescent="0.25"/>
  <cols>
    <col min="3" max="3" width="48.85546875" customWidth="1"/>
    <col min="4" max="4" width="9.140625" customWidth="1"/>
  </cols>
  <sheetData>
    <row r="1" spans="2:3" x14ac:dyDescent="0.25">
      <c r="B1" t="s">
        <v>28</v>
      </c>
    </row>
    <row r="2" spans="2:3" x14ac:dyDescent="0.25">
      <c r="B2" t="s">
        <v>25</v>
      </c>
      <c r="C2" t="str">
        <f>IFERROR(VLOOKUP(C1,[1]referencia!$B:$I,8,FALSE),"")</f>
        <v/>
      </c>
    </row>
    <row r="3" spans="2:3" x14ac:dyDescent="0.25">
      <c r="B3" t="s">
        <v>27</v>
      </c>
      <c r="C3" t="str">
        <f>IFERROR(VLOOKUP($C$1,[1]referencia!$B:$J,9,FALSE),"")</f>
        <v/>
      </c>
    </row>
    <row r="4" spans="2:3" x14ac:dyDescent="0.25">
      <c r="B4" t="s">
        <v>26</v>
      </c>
      <c r="C4" t="str">
        <f>TRIM(D4)</f>
        <v/>
      </c>
    </row>
    <row r="5" spans="2:3" x14ac:dyDescent="0.25">
      <c r="B5" t="s">
        <v>29</v>
      </c>
    </row>
    <row r="6" spans="2:3" x14ac:dyDescent="0.25">
      <c r="B6" t="s">
        <v>30</v>
      </c>
      <c r="C6" t="str">
        <f>TRIM(D6)</f>
        <v/>
      </c>
    </row>
    <row r="7" spans="2:3" x14ac:dyDescent="0.25">
      <c r="B7" t="s">
        <v>31</v>
      </c>
      <c r="C7" t="str">
        <f>IFERROR(VLOOKUP(C6&amp;C1,[1]referencia!$E:$F,2,FALSE),"")</f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ficha</vt:lpstr>
      <vt:lpstr>conversao_de_dados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2025-04-03T12:41:35Z</dcterms:created>
  <dcterms:modified xsi:type="dcterms:W3CDTF">2025-04-04T18:57:58Z</dcterms:modified>
</cp:coreProperties>
</file>